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3a299ac018f522/Desktop/Piyusha/"/>
    </mc:Choice>
  </mc:AlternateContent>
  <xr:revisionPtr revIDLastSave="0" documentId="8_{81D1599F-50DA-4A4D-B45B-7DC2C66CDE55}" xr6:coauthVersionLast="47" xr6:coauthVersionMax="47" xr10:uidLastSave="{00000000-0000-0000-0000-000000000000}"/>
  <bookViews>
    <workbookView xWindow="-108" yWindow="-108" windowWidth="23256" windowHeight="12456" activeTab="3" xr2:uid="{4AFF556F-BDFC-4B93-8F57-C7B1D7DDEC87}"/>
  </bookViews>
  <sheets>
    <sheet name="pr" sheetId="1" r:id="rId1"/>
    <sheet name="po" sheetId="2" r:id="rId2"/>
    <sheet name="grn" sheetId="3" r:id="rId3"/>
    <sheet name="Invoice" sheetId="4" r:id="rId4"/>
    <sheet name="Sheet5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2" i="4"/>
  <c r="J2" i="4"/>
  <c r="J3" i="4"/>
  <c r="L3" i="4" s="1"/>
  <c r="J4" i="4"/>
  <c r="L4" i="4" s="1"/>
  <c r="J5" i="4"/>
  <c r="L5" i="4" s="1"/>
  <c r="J6" i="4"/>
  <c r="L6" i="4" s="1"/>
  <c r="H2" i="4"/>
  <c r="I2" i="4" s="1"/>
  <c r="H3" i="4"/>
  <c r="I3" i="4" s="1"/>
  <c r="M3" i="4" s="1"/>
  <c r="H4" i="4"/>
  <c r="I4" i="4" s="1"/>
  <c r="M4" i="4" s="1"/>
  <c r="H5" i="4"/>
  <c r="I5" i="4" s="1"/>
  <c r="M5" i="4" s="1"/>
  <c r="H6" i="4"/>
  <c r="I6" i="4" s="1"/>
  <c r="M6" i="4" s="1"/>
  <c r="G14" i="5"/>
  <c r="G30" i="5"/>
  <c r="G29" i="5"/>
  <c r="G28" i="5"/>
  <c r="G26" i="5"/>
  <c r="G13" i="5"/>
  <c r="G12" i="5"/>
  <c r="G11" i="5"/>
  <c r="G10" i="5"/>
  <c r="G6" i="4"/>
  <c r="G2" i="2"/>
  <c r="G2" i="4" s="1"/>
  <c r="G3" i="2"/>
  <c r="G27" i="5" s="1"/>
  <c r="G4" i="2"/>
  <c r="G4" i="4" s="1"/>
  <c r="G5" i="2"/>
  <c r="G5" i="4" s="1"/>
  <c r="G6" i="2"/>
  <c r="M2" i="4" l="1"/>
  <c r="L2" i="4"/>
  <c r="G3" i="4"/>
</calcChain>
</file>

<file path=xl/sharedStrings.xml><?xml version="1.0" encoding="utf-8"?>
<sst xmlns="http://schemas.openxmlformats.org/spreadsheetml/2006/main" count="210" uniqueCount="76">
  <si>
    <t>PR_ID</t>
  </si>
  <si>
    <t>Date</t>
  </si>
  <si>
    <t>Department</t>
  </si>
  <si>
    <t>Item</t>
  </si>
  <si>
    <t>Quantity</t>
  </si>
  <si>
    <t>PR001</t>
  </si>
  <si>
    <t>IT</t>
  </si>
  <si>
    <t>Laptop</t>
  </si>
  <si>
    <t>Approved</t>
  </si>
  <si>
    <t>Estimated Cost</t>
  </si>
  <si>
    <t>Approval Status</t>
  </si>
  <si>
    <t>PR002</t>
  </si>
  <si>
    <t>HR</t>
  </si>
  <si>
    <t>Office Chairs</t>
  </si>
  <si>
    <t>PR003</t>
  </si>
  <si>
    <t>Finance</t>
  </si>
  <si>
    <t>Printer</t>
  </si>
  <si>
    <t>Pending</t>
  </si>
  <si>
    <t>PR004</t>
  </si>
  <si>
    <t>Marketing</t>
  </si>
  <si>
    <t>Projector</t>
  </si>
  <si>
    <t>PR005</t>
  </si>
  <si>
    <t>Admin</t>
  </si>
  <si>
    <t>Stationery Kit</t>
  </si>
  <si>
    <t>PO_ID</t>
  </si>
  <si>
    <t>Vendor Name</t>
  </si>
  <si>
    <t>Qty Ordered</t>
  </si>
  <si>
    <t>Price/Unit</t>
  </si>
  <si>
    <t>Total Cost</t>
  </si>
  <si>
    <t>Order Date</t>
  </si>
  <si>
    <t>PO001</t>
  </si>
  <si>
    <t>TechSupplier Ltd</t>
  </si>
  <si>
    <t>PO002</t>
  </si>
  <si>
    <t>FurniCo</t>
  </si>
  <si>
    <t>PO003</t>
  </si>
  <si>
    <t>PrintWorld</t>
  </si>
  <si>
    <t>PO004</t>
  </si>
  <si>
    <t>AV Solutions</t>
  </si>
  <si>
    <t>PO005</t>
  </si>
  <si>
    <t>OfficeMart</t>
  </si>
  <si>
    <t>Stationery</t>
  </si>
  <si>
    <t>GRN_ID</t>
  </si>
  <si>
    <t>Quantity Received</t>
  </si>
  <si>
    <t>Quality Status</t>
  </si>
  <si>
    <t>Delivery Date</t>
  </si>
  <si>
    <t>GRN001</t>
  </si>
  <si>
    <t>Good</t>
  </si>
  <si>
    <t>GRN002</t>
  </si>
  <si>
    <t>GRN003</t>
  </si>
  <si>
    <t>GRN004</t>
  </si>
  <si>
    <t>Damaged</t>
  </si>
  <si>
    <t>GRN005</t>
  </si>
  <si>
    <t>Invoice_ID</t>
  </si>
  <si>
    <t>Amount Billed</t>
  </si>
  <si>
    <t>Invoice Date</t>
  </si>
  <si>
    <t>Payment Status</t>
  </si>
  <si>
    <t>Payment Date</t>
  </si>
  <si>
    <t>Match Status</t>
  </si>
  <si>
    <t>INV001</t>
  </si>
  <si>
    <t>Paid</t>
  </si>
  <si>
    <t>INV002</t>
  </si>
  <si>
    <t>INV003</t>
  </si>
  <si>
    <t>INV004</t>
  </si>
  <si>
    <t>15-03-2026</t>
  </si>
  <si>
    <t>INV005</t>
  </si>
  <si>
    <t>14-03-2026</t>
  </si>
  <si>
    <t>PO</t>
  </si>
  <si>
    <t>PR</t>
  </si>
  <si>
    <t>Column1</t>
  </si>
  <si>
    <t>grn</t>
  </si>
  <si>
    <t>invoice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</si>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</sst>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77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67BD6-5AC3-45F1-BE06-1D7923881C6D}" name="Table1" displayName="Table1" ref="A1:G6" totalsRowShown="0" headerRowDxfId="76" dataDxfId="75">
  <autoFilter ref="A1:G6" xr:uid="{31B67BD6-5AC3-45F1-BE06-1D7923881C6D}"/>
  <tableColumns count="7">
    <tableColumn id="1" xr3:uid="{3BBBDD94-7923-4E47-9A56-C2B2CA8C37C2}" name="PR_ID" dataDxfId="74"/>
    <tableColumn id="2" xr3:uid="{3FF869A3-1950-4381-8E6F-2CA707274074}" name="Date" dataDxfId="73"/>
    <tableColumn id="3" xr3:uid="{3916CF77-206A-480B-9F22-B41141EBAF61}" name="Department" dataDxfId="72"/>
    <tableColumn id="4" xr3:uid="{8EF3C196-36F9-4C2E-BE9C-78FD267E4FC9}" name="Item" dataDxfId="71"/>
    <tableColumn id="5" xr3:uid="{FFA0F5CB-2FD9-4F19-BD8F-FBFFFCAF7112}" name="Quantity" dataDxfId="70"/>
    <tableColumn id="6" xr3:uid="{FD8AF3D4-D5EB-4085-A3A7-C633641899D6}" name="Estimated Cost" dataDxfId="69"/>
    <tableColumn id="7" xr3:uid="{8441F4BC-31CC-4E92-9B72-61E3EAF187AE}" name="Approval Status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38274B-6C9F-4CB7-8A85-2AD3CBA6F872}" name="Table2" displayName="Table2" ref="A1:H6" totalsRowShown="0" headerRowDxfId="67" dataDxfId="66">
  <autoFilter ref="A1:H6" xr:uid="{0338274B-6C9F-4CB7-8A85-2AD3CBA6F872}"/>
  <tableColumns count="8">
    <tableColumn id="1" xr3:uid="{874068F2-E054-495E-8445-F62BED0DF1A5}" name="PO_ID" dataDxfId="65"/>
    <tableColumn id="2" xr3:uid="{410EEB41-95FD-46BC-9429-3B96A5A26C85}" name="PR_ID" dataDxfId="64"/>
    <tableColumn id="3" xr3:uid="{1F5C8FB5-5D20-4C57-81B0-D8FE6A2013D4}" name="Vendor Name" dataDxfId="63"/>
    <tableColumn id="4" xr3:uid="{4187832F-D195-480F-A9C7-3F2C5C9771F5}" name="Item" dataDxfId="62"/>
    <tableColumn id="5" xr3:uid="{251E7C98-1210-4ACE-9172-C9DE4E63F81F}" name="Qty Ordered" dataDxfId="61"/>
    <tableColumn id="6" xr3:uid="{3A085C9B-B070-4F8D-8D03-DDF1C134FBEF}" name="Price/Unit" dataDxfId="60"/>
    <tableColumn id="7" xr3:uid="{F05726E2-2DFB-4C50-8A12-E048910028B9}" name="Total Cost" dataDxfId="59">
      <calculatedColumnFormula>E2*F2</calculatedColumnFormula>
    </tableColumn>
    <tableColumn id="8" xr3:uid="{BBEBDB71-7410-43E2-81D0-919796268ADC}" name="Order Date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9F3597-5768-4012-BD64-36F56F3003DD}" name="Table3" displayName="Table3" ref="A1:E6" totalsRowShown="0" headerRowDxfId="57" dataDxfId="56">
  <autoFilter ref="A1:E6" xr:uid="{A69F3597-5768-4012-BD64-36F56F3003DD}"/>
  <tableColumns count="5">
    <tableColumn id="1" xr3:uid="{05C8EDB3-AD6C-4D2C-9E6E-2CF94E04A0A0}" name="GRN_ID" dataDxfId="55"/>
    <tableColumn id="2" xr3:uid="{D286D58E-8D2C-470B-A03C-DCB96926C799}" name="PO_ID" dataDxfId="54"/>
    <tableColumn id="3" xr3:uid="{CBEF2EBF-1DCC-4419-9B98-35A789FE3E02}" name="Quantity Received" dataDxfId="53"/>
    <tableColumn id="4" xr3:uid="{5F6E883F-5EC4-4594-BD90-C32090BD9977}" name="Quality Status" dataDxfId="52"/>
    <tableColumn id="5" xr3:uid="{3573DD79-E442-45EA-8353-6184664059A5}" name="Delivery Date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933010-B0E5-4FCC-809E-669D321AE8F4}" name="Table4" displayName="Table4" ref="A1:M6" totalsRowShown="0" headerRowDxfId="50" dataDxfId="49">
  <autoFilter ref="A1:M6" xr:uid="{16933010-B0E5-4FCC-809E-669D321AE8F4}"/>
  <tableColumns count="13">
    <tableColumn id="1" xr3:uid="{6B82BFB8-30CE-4714-92F8-03896605F37D}" name="Invoice_ID" dataDxfId="48"/>
    <tableColumn id="2" xr3:uid="{6B6F0183-2197-48C4-B9D1-15EC1E7E7741}" name="PO_ID" dataDxfId="47"/>
    <tableColumn id="3" xr3:uid="{97357A6A-F588-4158-92FD-4AE01C325738}" name="Amount Billed" dataDxfId="46"/>
    <tableColumn id="4" xr3:uid="{B93A6C79-8A2E-4D9C-842E-1874F4CA7ED0}" name="Invoice Date" dataDxfId="45"/>
    <tableColumn id="5" xr3:uid="{4F2DBFDA-65A5-4C3A-BCBE-FDB7C532CD2E}" name="Payment Status" dataDxfId="44"/>
    <tableColumn id="6" xr3:uid="{071E4B33-DDAE-42DF-BCBE-B00B4E270283}" name="Payment Date" dataDxfId="43"/>
    <tableColumn id="7" xr3:uid="{3B238D8A-2D16-44EF-8FEC-A3F6C569BF9C}" name="Match Status" dataDxfId="42">
      <calculatedColumnFormula>IF(AND(
C2=VLOOKUP(B2,po!A:G,7,FALSE),
VLOOKUP(B2,po!A:G,5,FALSE)=VLOOKUP(B2,grn!B:C,2,FALSE)
),"Match","Mismatch")</calculatedColumnFormula>
    </tableColumn>
    <tableColumn id="8" xr3:uid="{E0B4E0AE-7630-4A1C-889A-DC69F37008A5}" name="Column1" dataDxfId="41">
      <calculatedColumnFormula>VLOOKUP(B2,po!A:H,7,FALSE)</calculatedColumnFormula>
    </tableColumn>
    <tableColumn id="9" xr3:uid="{7ADFF0E4-CF5E-4FF3-A86F-6B8DFD3AE167}" name="Column2" dataDxfId="4">
      <calculatedColumnFormula>IF(C2=H2, "ok", "notok")</calculatedColumnFormula>
    </tableColumn>
    <tableColumn id="10" xr3:uid="{B902A7DE-F2DF-4F13-B83B-E8482B7042E9}" name="Column3" dataDxfId="3">
      <calculatedColumnFormula>VLOOKUP(Table4[[#This Row],[PO_ID]],po!A:G,5,FALSE)</calculatedColumnFormula>
    </tableColumn>
    <tableColumn id="11" xr3:uid="{7F63B1B3-1BD5-4CA1-8932-89DEB31800F7}" name="Column4" dataDxfId="2">
      <calculatedColumnFormula>VLOOKUP(B2,grn!B:C,2,FALSE)</calculatedColumnFormula>
    </tableColumn>
    <tableColumn id="12" xr3:uid="{C9CB3C7F-0802-47B7-95B8-77C3F997F986}" name="Column5" dataDxfId="1">
      <calculatedColumnFormula>IF(J2=K2,"OK","Not OK")</calculatedColumnFormula>
    </tableColumn>
    <tableColumn id="13" xr3:uid="{A721F553-F39F-4BF7-AFEB-3984A6BF8F10}" name="Column6" dataDxfId="0">
      <calculatedColumnFormula>IF(AND(I2="OK",L2="OK"),"Match","Mismatch")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23E1B-2C26-47A8-B95A-74BBD46F502B}" name="Table17" displayName="Table17" ref="A1:H6" totalsRowShown="0" headerRowDxfId="40" dataDxfId="39">
  <autoFilter ref="A1:H6" xr:uid="{93923E1B-2C26-47A8-B95A-74BBD46F502B}"/>
  <tableColumns count="8">
    <tableColumn id="1" xr3:uid="{A520E870-3139-4FBB-AFB0-0DC8E58DD1C8}" name="PR_ID" dataDxfId="38"/>
    <tableColumn id="2" xr3:uid="{98D69EA1-274D-49F6-AA11-F9BEC9604BA7}" name="Date" dataDxfId="37"/>
    <tableColumn id="3" xr3:uid="{46ABA558-07CA-4166-AF92-28DD1BA54689}" name="Department" dataDxfId="36"/>
    <tableColumn id="4" xr3:uid="{DB27BF97-79DC-4158-8B09-A1FC2CFDA8B0}" name="Item" dataDxfId="35"/>
    <tableColumn id="5" xr3:uid="{1D346FD2-43F4-4A44-AE32-A491FD683479}" name="Quantity" dataDxfId="34"/>
    <tableColumn id="6" xr3:uid="{0EF55796-47F1-4AD5-88A8-513A91C1CFBD}" name="Estimated Cost" dataDxfId="33"/>
    <tableColumn id="7" xr3:uid="{2688102C-AC28-4480-9791-E80392A1EE09}" name="Approval Status" dataDxfId="32"/>
    <tableColumn id="8" xr3:uid="{2804F8A6-0E28-4A28-87C2-C945634C39EE}" name="Column1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FDBD5B-70AE-425E-89AD-037598B9321A}" name="Table28" displayName="Table28" ref="A9:H14" totalsRowShown="0" headerRowDxfId="30" dataDxfId="29">
  <autoFilter ref="A9:H14" xr:uid="{E9FDBD5B-70AE-425E-89AD-037598B9321A}"/>
  <tableColumns count="8">
    <tableColumn id="1" xr3:uid="{56CDEFCC-97E7-4D7C-B6B6-C2D989914032}" name="PO_ID" dataDxfId="28"/>
    <tableColumn id="2" xr3:uid="{B3421013-C8BB-4561-AEFC-C6ACD5913AC4}" name="PR_ID" dataDxfId="27"/>
    <tableColumn id="3" xr3:uid="{9C5F241B-1FB8-458B-A168-F9E0E0B0A7DA}" name="Vendor Name" dataDxfId="26"/>
    <tableColumn id="4" xr3:uid="{AA59E979-B079-4325-8F93-C8029343E9ED}" name="Item" dataDxfId="25"/>
    <tableColumn id="5" xr3:uid="{5904EB52-191E-4C8C-9311-8A8DBDFA51E4}" name="Qty Ordered" dataDxfId="24"/>
    <tableColumn id="6" xr3:uid="{7BEF66A0-2C2A-416F-85CC-1EB5A4D18877}" name="Price/Unit" dataDxfId="23"/>
    <tableColumn id="7" xr3:uid="{40C1D072-37F2-42C5-9103-8C700D8EBBA7}" name="Total Cost" dataDxfId="22">
      <calculatedColumnFormula>E10*F10</calculatedColumnFormula>
    </tableColumn>
    <tableColumn id="8" xr3:uid="{CC7579F9-BACB-4D37-966C-96CA4888A10E}" name="Order Date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15E21D-2BE7-48AD-93CB-10AAE200A218}" name="Table39" displayName="Table39" ref="A17:E22" totalsRowShown="0" headerRowDxfId="20" dataDxfId="19">
  <autoFilter ref="A17:E22" xr:uid="{EE15E21D-2BE7-48AD-93CB-10AAE200A218}"/>
  <tableColumns count="5">
    <tableColumn id="1" xr3:uid="{5FAACD2F-CC02-4A43-8385-6123E3A7EE7E}" name="GRN_ID" dataDxfId="18"/>
    <tableColumn id="2" xr3:uid="{0F7EFD78-1056-40C1-BD04-6625E361CB18}" name="PO_ID" dataDxfId="17"/>
    <tableColumn id="3" xr3:uid="{BE82BB5C-8BAE-4701-896E-47A1801374B7}" name="Quantity Received" dataDxfId="16"/>
    <tableColumn id="4" xr3:uid="{DDBAD017-2CB9-4CAD-9D53-595D4AFB74CA}" name="Quality Status" dataDxfId="15"/>
    <tableColumn id="5" xr3:uid="{3A73277F-E5E9-4555-9C29-B46C5CCDE99D}" name="Delivery Date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51F146-9217-4C36-8C3E-BB532F4F1C8F}" name="Table410" displayName="Table410" ref="A25:G30" totalsRowShown="0" headerRowDxfId="13" dataDxfId="12">
  <autoFilter ref="A25:G30" xr:uid="{F151F146-9217-4C36-8C3E-BB532F4F1C8F}"/>
  <tableColumns count="7">
    <tableColumn id="1" xr3:uid="{F6750862-50C6-49FF-896C-693DDF20109F}" name="Invoice_ID" dataDxfId="11"/>
    <tableColumn id="2" xr3:uid="{8B0D9A22-14C3-48F8-B865-686A37D13FD6}" name="PO_ID" dataDxfId="10"/>
    <tableColumn id="3" xr3:uid="{F6FF0110-14ED-4533-94F4-859770FBCE59}" name="Amount Billed" dataDxfId="9"/>
    <tableColumn id="4" xr3:uid="{38C3359F-B24B-485D-AE61-C77EB774944B}" name="Invoice Date" dataDxfId="8"/>
    <tableColumn id="5" xr3:uid="{0227EE16-9F83-4C64-884B-E524E5BDA6F6}" name="Payment Status" dataDxfId="7"/>
    <tableColumn id="6" xr3:uid="{DA2A9BA7-99CA-4AEB-B9E5-782303C103F7}" name="Payment Date" dataDxfId="6"/>
    <tableColumn id="7" xr3:uid="{CC750559-2C0D-4BFF-9C2C-EDFF96D02D8F}" name="Match Status" dataDxfId="5">
      <calculatedColumnFormula>IF(AND(
C26=VLOOKUP(B26,po!A:G,7,FALSE),
VLOOKUP(B26,po!A:G,5,FALSE)=VLOOKUP(B26,grn!B:C,2,FALSE)
),"Match","Mismatch")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79F0-B8BB-4965-8811-2C5E7B756189}">
  <dimension ref="A1:G6"/>
  <sheetViews>
    <sheetView workbookViewId="0">
      <selection sqref="A1:G6"/>
    </sheetView>
  </sheetViews>
  <sheetFormatPr defaultRowHeight="14.4" x14ac:dyDescent="0.3"/>
  <cols>
    <col min="3" max="3" width="13" customWidth="1"/>
    <col min="5" max="5" width="10.21875" customWidth="1"/>
    <col min="6" max="6" width="15.33203125" customWidth="1"/>
    <col min="7" max="7" width="1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</row>
    <row r="2" spans="1:7" x14ac:dyDescent="0.3">
      <c r="A2" s="2" t="s">
        <v>5</v>
      </c>
      <c r="B2" s="3">
        <v>46025</v>
      </c>
      <c r="C2" s="2" t="s">
        <v>6</v>
      </c>
      <c r="D2" s="2" t="s">
        <v>7</v>
      </c>
      <c r="E2" s="2">
        <v>5</v>
      </c>
      <c r="F2" s="2">
        <v>50000</v>
      </c>
      <c r="G2" s="2" t="s">
        <v>8</v>
      </c>
    </row>
    <row r="3" spans="1:7" ht="28.8" x14ac:dyDescent="0.3">
      <c r="A3" s="2" t="s">
        <v>11</v>
      </c>
      <c r="B3" s="3">
        <v>46056</v>
      </c>
      <c r="C3" s="2" t="s">
        <v>12</v>
      </c>
      <c r="D3" s="2" t="s">
        <v>13</v>
      </c>
      <c r="E3" s="2">
        <v>10</v>
      </c>
      <c r="F3" s="2">
        <v>3000</v>
      </c>
      <c r="G3" s="2" t="s">
        <v>8</v>
      </c>
    </row>
    <row r="4" spans="1:7" x14ac:dyDescent="0.3">
      <c r="A4" s="2" t="s">
        <v>14</v>
      </c>
      <c r="B4" s="3">
        <v>46084</v>
      </c>
      <c r="C4" s="2" t="s">
        <v>15</v>
      </c>
      <c r="D4" s="2" t="s">
        <v>16</v>
      </c>
      <c r="E4" s="2">
        <v>2</v>
      </c>
      <c r="F4" s="2">
        <v>15000</v>
      </c>
      <c r="G4" s="2" t="s">
        <v>17</v>
      </c>
    </row>
    <row r="5" spans="1:7" x14ac:dyDescent="0.3">
      <c r="A5" s="2" t="s">
        <v>18</v>
      </c>
      <c r="B5" s="3">
        <v>46115</v>
      </c>
      <c r="C5" s="2" t="s">
        <v>19</v>
      </c>
      <c r="D5" s="2" t="s">
        <v>20</v>
      </c>
      <c r="E5" s="2">
        <v>1</v>
      </c>
      <c r="F5" s="2">
        <v>40000</v>
      </c>
      <c r="G5" s="2" t="s">
        <v>8</v>
      </c>
    </row>
    <row r="6" spans="1:7" ht="28.8" x14ac:dyDescent="0.3">
      <c r="A6" s="2" t="s">
        <v>21</v>
      </c>
      <c r="B6" s="3">
        <v>46145</v>
      </c>
      <c r="C6" s="2" t="s">
        <v>22</v>
      </c>
      <c r="D6" s="2" t="s">
        <v>23</v>
      </c>
      <c r="E6" s="2">
        <v>20</v>
      </c>
      <c r="F6" s="2">
        <v>500</v>
      </c>
      <c r="G6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7823-2AC8-4982-8249-28BEFBE386A4}">
  <dimension ref="A1:H6"/>
  <sheetViews>
    <sheetView workbookViewId="0">
      <selection activeCell="I2" sqref="I2"/>
    </sheetView>
  </sheetViews>
  <sheetFormatPr defaultRowHeight="14.4" x14ac:dyDescent="0.3"/>
  <cols>
    <col min="3" max="3" width="16.33203125" customWidth="1"/>
    <col min="5" max="5" width="13.21875" customWidth="1"/>
    <col min="6" max="6" width="11.44140625" customWidth="1"/>
    <col min="7" max="7" width="11.21875" customWidth="1"/>
    <col min="8" max="8" width="12" customWidth="1"/>
  </cols>
  <sheetData>
    <row r="1" spans="1:8" x14ac:dyDescent="0.3">
      <c r="A1" s="1" t="s">
        <v>24</v>
      </c>
      <c r="B1" s="1" t="s">
        <v>0</v>
      </c>
      <c r="C1" s="1" t="s">
        <v>25</v>
      </c>
      <c r="D1" s="1" t="s">
        <v>3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s="2" t="s">
        <v>30</v>
      </c>
      <c r="B2" s="2" t="s">
        <v>5</v>
      </c>
      <c r="C2" s="2" t="s">
        <v>31</v>
      </c>
      <c r="D2" s="2" t="s">
        <v>7</v>
      </c>
      <c r="E2" s="2">
        <v>5</v>
      </c>
      <c r="F2" s="2">
        <v>48000</v>
      </c>
      <c r="G2">
        <f>E2*F2</f>
        <v>240000</v>
      </c>
      <c r="H2" s="3">
        <v>46056</v>
      </c>
    </row>
    <row r="3" spans="1:8" ht="28.8" x14ac:dyDescent="0.3">
      <c r="A3" s="2" t="s">
        <v>32</v>
      </c>
      <c r="B3" s="2" t="s">
        <v>11</v>
      </c>
      <c r="C3" s="2" t="s">
        <v>33</v>
      </c>
      <c r="D3" s="2" t="s">
        <v>13</v>
      </c>
      <c r="E3" s="2">
        <v>10</v>
      </c>
      <c r="F3" s="2">
        <v>2800</v>
      </c>
      <c r="G3" s="2">
        <f>E3*F3</f>
        <v>28000</v>
      </c>
      <c r="H3" s="3">
        <v>46084</v>
      </c>
    </row>
    <row r="4" spans="1:8" x14ac:dyDescent="0.3">
      <c r="A4" s="2" t="s">
        <v>34</v>
      </c>
      <c r="B4" s="2" t="s">
        <v>14</v>
      </c>
      <c r="C4" s="2" t="s">
        <v>35</v>
      </c>
      <c r="D4" s="2" t="s">
        <v>16</v>
      </c>
      <c r="E4" s="2">
        <v>2</v>
      </c>
      <c r="F4" s="2">
        <v>14000</v>
      </c>
      <c r="G4" s="2">
        <f>E4*F4</f>
        <v>28000</v>
      </c>
      <c r="H4" s="3">
        <v>46115</v>
      </c>
    </row>
    <row r="5" spans="1:8" x14ac:dyDescent="0.3">
      <c r="A5" s="2" t="s">
        <v>36</v>
      </c>
      <c r="B5" s="2" t="s">
        <v>18</v>
      </c>
      <c r="C5" s="2" t="s">
        <v>37</v>
      </c>
      <c r="D5" s="2" t="s">
        <v>20</v>
      </c>
      <c r="E5" s="2">
        <v>1</v>
      </c>
      <c r="F5" s="2">
        <v>38000</v>
      </c>
      <c r="G5" s="2">
        <f>E5*F5</f>
        <v>38000</v>
      </c>
      <c r="H5" s="3">
        <v>46145</v>
      </c>
    </row>
    <row r="6" spans="1:8" ht="28.8" x14ac:dyDescent="0.3">
      <c r="A6" s="2" t="s">
        <v>38</v>
      </c>
      <c r="B6" s="2" t="s">
        <v>21</v>
      </c>
      <c r="C6" s="2" t="s">
        <v>39</v>
      </c>
      <c r="D6" s="2" t="s">
        <v>40</v>
      </c>
      <c r="E6" s="2">
        <v>20</v>
      </c>
      <c r="F6" s="2">
        <v>450</v>
      </c>
      <c r="G6" s="2">
        <f>E6*F6</f>
        <v>9000</v>
      </c>
      <c r="H6" s="3">
        <v>46176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1EE7-27E5-48D8-93AE-590701BE5D00}">
  <dimension ref="A1:E6"/>
  <sheetViews>
    <sheetView workbookViewId="0">
      <selection sqref="A1:E6"/>
    </sheetView>
  </sheetViews>
  <sheetFormatPr defaultRowHeight="14.4" x14ac:dyDescent="0.3"/>
  <cols>
    <col min="1" max="1" width="9.33203125" customWidth="1"/>
    <col min="3" max="3" width="18.21875" customWidth="1"/>
    <col min="4" max="4" width="14.5546875" customWidth="1"/>
    <col min="5" max="5" width="14" customWidth="1"/>
  </cols>
  <sheetData>
    <row r="1" spans="1:5" x14ac:dyDescent="0.3">
      <c r="A1" s="1" t="s">
        <v>41</v>
      </c>
      <c r="B1" s="1" t="s">
        <v>24</v>
      </c>
      <c r="C1" s="1" t="s">
        <v>42</v>
      </c>
      <c r="D1" s="1" t="s">
        <v>43</v>
      </c>
      <c r="E1" s="1" t="s">
        <v>44</v>
      </c>
    </row>
    <row r="2" spans="1:5" x14ac:dyDescent="0.3">
      <c r="A2" s="2" t="s">
        <v>45</v>
      </c>
      <c r="B2" s="2" t="s">
        <v>30</v>
      </c>
      <c r="C2" s="2">
        <v>5</v>
      </c>
      <c r="D2" s="2" t="s">
        <v>46</v>
      </c>
      <c r="E2" s="3">
        <v>46145</v>
      </c>
    </row>
    <row r="3" spans="1:5" x14ac:dyDescent="0.3">
      <c r="A3" s="2" t="s">
        <v>47</v>
      </c>
      <c r="B3" s="2" t="s">
        <v>32</v>
      </c>
      <c r="C3" s="2">
        <v>10</v>
      </c>
      <c r="D3" s="2" t="s">
        <v>46</v>
      </c>
      <c r="E3" s="3">
        <v>46176</v>
      </c>
    </row>
    <row r="4" spans="1:5" x14ac:dyDescent="0.3">
      <c r="A4" s="2" t="s">
        <v>48</v>
      </c>
      <c r="B4" s="2" t="s">
        <v>34</v>
      </c>
      <c r="C4" s="2">
        <v>1</v>
      </c>
      <c r="D4" s="2" t="s">
        <v>46</v>
      </c>
      <c r="E4" s="3">
        <v>46206</v>
      </c>
    </row>
    <row r="5" spans="1:5" x14ac:dyDescent="0.3">
      <c r="A5" s="2" t="s">
        <v>49</v>
      </c>
      <c r="B5" s="2" t="s">
        <v>36</v>
      </c>
      <c r="C5" s="2">
        <v>1</v>
      </c>
      <c r="D5" s="2" t="s">
        <v>50</v>
      </c>
      <c r="E5" s="3">
        <v>46237</v>
      </c>
    </row>
    <row r="6" spans="1:5" x14ac:dyDescent="0.3">
      <c r="A6" s="2" t="s">
        <v>51</v>
      </c>
      <c r="B6" s="2" t="s">
        <v>38</v>
      </c>
      <c r="C6" s="2">
        <v>20</v>
      </c>
      <c r="D6" s="2" t="s">
        <v>46</v>
      </c>
      <c r="E6" s="3">
        <v>46268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C79C-AF3C-4D3A-9CDA-45C105E42DE0}">
  <dimension ref="A1:M6"/>
  <sheetViews>
    <sheetView tabSelected="1" workbookViewId="0">
      <selection activeCell="L12" sqref="L12"/>
    </sheetView>
  </sheetViews>
  <sheetFormatPr defaultRowHeight="14.4" x14ac:dyDescent="0.3"/>
  <cols>
    <col min="1" max="1" width="11.77734375" customWidth="1"/>
    <col min="3" max="3" width="14.77734375" customWidth="1"/>
    <col min="4" max="4" width="13.33203125" customWidth="1"/>
    <col min="5" max="5" width="16.109375" customWidth="1"/>
    <col min="6" max="6" width="14.77734375" customWidth="1"/>
    <col min="7" max="7" width="14" customWidth="1"/>
  </cols>
  <sheetData>
    <row r="1" spans="1:13" x14ac:dyDescent="0.3">
      <c r="A1" s="1" t="s">
        <v>52</v>
      </c>
      <c r="B1" s="1" t="s">
        <v>24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68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 x14ac:dyDescent="0.3">
      <c r="A2" s="2" t="s">
        <v>58</v>
      </c>
      <c r="B2" s="2" t="s">
        <v>30</v>
      </c>
      <c r="C2" s="2">
        <v>240000</v>
      </c>
      <c r="D2" s="3">
        <v>46176</v>
      </c>
      <c r="E2" s="2" t="s">
        <v>59</v>
      </c>
      <c r="F2" s="3">
        <v>46298</v>
      </c>
      <c r="G2" s="2" t="str">
        <f>IF(AND(
C2=VLOOKUP(B2,po!A:G,7,FALSE),
VLOOKUP(B2,po!A:G,5,FALSE)=VLOOKUP(B2,grn!B:C,2,FALSE)
),"Match","Mismatch")</f>
        <v>Match</v>
      </c>
      <c r="H2" s="2">
        <f>VLOOKUP(B2,po!A:H,7,FALSE)</f>
        <v>240000</v>
      </c>
      <c r="I2" s="2" t="str">
        <f t="shared" ref="I2:I6" si="0">IF(C2=H2, "ok", "notok")</f>
        <v>ok</v>
      </c>
      <c r="J2" s="5">
        <f>VLOOKUP(Table4[[#This Row],[PO_ID]],po!A:G,5,FALSE)</f>
        <v>5</v>
      </c>
      <c r="K2" s="5">
        <f>VLOOKUP(B2,grn!B:C,2,FALSE)</f>
        <v>5</v>
      </c>
      <c r="L2" s="5" t="str">
        <f t="shared" ref="L2:L6" si="1">IF(J2=K2,"OK","Not OK")</f>
        <v>OK</v>
      </c>
      <c r="M2" s="5" t="str">
        <f t="shared" ref="M2:M6" si="2">IF(AND(I2="OK",L2="OK"),"Match","Mismatch")</f>
        <v>Match</v>
      </c>
    </row>
    <row r="3" spans="1:13" x14ac:dyDescent="0.3">
      <c r="A3" s="2" t="s">
        <v>60</v>
      </c>
      <c r="B3" s="2" t="s">
        <v>32</v>
      </c>
      <c r="C3" s="2">
        <v>28000</v>
      </c>
      <c r="D3" s="3">
        <v>46206</v>
      </c>
      <c r="E3" s="2" t="s">
        <v>59</v>
      </c>
      <c r="F3" s="3">
        <v>46359</v>
      </c>
      <c r="G3" s="2" t="str">
        <f>IF(AND(
C3=VLOOKUP(B3,po!A:G,7,FALSE),
VLOOKUP(B3,po!A:G,5,FALSE)=VLOOKUP(B3,grn!B:C,2,FALSE)
),"Match","Mismatch")</f>
        <v>Match</v>
      </c>
      <c r="H3" s="2">
        <f>VLOOKUP(B3,po!A:H,7,FALSE)</f>
        <v>28000</v>
      </c>
      <c r="I3" s="2" t="str">
        <f t="shared" si="0"/>
        <v>ok</v>
      </c>
      <c r="J3" s="5">
        <f>VLOOKUP(Table4[[#This Row],[PO_ID]],po!A:G,5,FALSE)</f>
        <v>10</v>
      </c>
      <c r="K3" s="5">
        <f>VLOOKUP(B3,grn!B:C,2,FALSE)</f>
        <v>10</v>
      </c>
      <c r="L3" s="5" t="str">
        <f t="shared" si="1"/>
        <v>OK</v>
      </c>
      <c r="M3" s="5" t="str">
        <f t="shared" si="2"/>
        <v>Match</v>
      </c>
    </row>
    <row r="4" spans="1:13" x14ac:dyDescent="0.3">
      <c r="A4" s="2" t="s">
        <v>61</v>
      </c>
      <c r="B4" s="2" t="s">
        <v>34</v>
      </c>
      <c r="C4" s="2">
        <v>28000</v>
      </c>
      <c r="D4" s="3">
        <v>46237</v>
      </c>
      <c r="E4" s="2" t="s">
        <v>17</v>
      </c>
      <c r="F4" s="2"/>
      <c r="G4" s="2" t="str">
        <f>IF(AND(
C4=VLOOKUP(B4,po!A:G,7,FALSE),
VLOOKUP(B4,po!A:G,5,FALSE)=VLOOKUP(B4,grn!B:C,2,FALSE)
),"Match","Mismatch")</f>
        <v>Mismatch</v>
      </c>
      <c r="H4" s="2">
        <f>VLOOKUP(B4,po!A:H,7,FALSE)</f>
        <v>28000</v>
      </c>
      <c r="I4" s="2" t="str">
        <f t="shared" si="0"/>
        <v>ok</v>
      </c>
      <c r="J4" s="5">
        <f>VLOOKUP(Table4[[#This Row],[PO_ID]],po!A:G,5,FALSE)</f>
        <v>2</v>
      </c>
      <c r="K4" s="5">
        <f>VLOOKUP(B4,grn!B:C,2,FALSE)</f>
        <v>1</v>
      </c>
      <c r="L4" s="5" t="str">
        <f t="shared" si="1"/>
        <v>Not OK</v>
      </c>
      <c r="M4" s="5" t="str">
        <f t="shared" si="2"/>
        <v>Mismatch</v>
      </c>
    </row>
    <row r="5" spans="1:13" x14ac:dyDescent="0.3">
      <c r="A5" s="2" t="s">
        <v>62</v>
      </c>
      <c r="B5" s="2" t="s">
        <v>36</v>
      </c>
      <c r="C5" s="2">
        <v>38000</v>
      </c>
      <c r="D5" s="3">
        <v>46268</v>
      </c>
      <c r="E5" s="2" t="s">
        <v>59</v>
      </c>
      <c r="F5" s="2" t="s">
        <v>63</v>
      </c>
      <c r="G5" s="2" t="str">
        <f>IF(AND(
C5=VLOOKUP(B5,po!A:G,7,FALSE),
VLOOKUP(B5,po!A:G,5,FALSE)=VLOOKUP(B5,grn!B:C,2,FALSE)
),"Match","Mismatch")</f>
        <v>Match</v>
      </c>
      <c r="H5" s="2">
        <f>VLOOKUP(B5,po!A:H,7,FALSE)</f>
        <v>38000</v>
      </c>
      <c r="I5" s="2" t="str">
        <f t="shared" si="0"/>
        <v>ok</v>
      </c>
      <c r="J5" s="5">
        <f>VLOOKUP(Table4[[#This Row],[PO_ID]],po!A:G,5,FALSE)</f>
        <v>1</v>
      </c>
      <c r="K5" s="5">
        <f>VLOOKUP(B5,grn!B:C,2,FALSE)</f>
        <v>1</v>
      </c>
      <c r="L5" s="5" t="str">
        <f t="shared" si="1"/>
        <v>OK</v>
      </c>
      <c r="M5" s="5" t="str">
        <f t="shared" si="2"/>
        <v>Match</v>
      </c>
    </row>
    <row r="6" spans="1:13" x14ac:dyDescent="0.3">
      <c r="A6" s="2" t="s">
        <v>64</v>
      </c>
      <c r="B6" s="2" t="s">
        <v>38</v>
      </c>
      <c r="C6" s="2">
        <v>9000</v>
      </c>
      <c r="D6" s="3">
        <v>46298</v>
      </c>
      <c r="E6" s="2" t="s">
        <v>59</v>
      </c>
      <c r="F6" s="2" t="s">
        <v>65</v>
      </c>
      <c r="G6" s="2" t="str">
        <f>IF(AND(
C6=VLOOKUP(B6,po!A:G,7,FALSE),
VLOOKUP(B6,po!A:G,5,FALSE)=VLOOKUP(B6,grn!B:C,2,FALSE)
),"Match","Mismatch")</f>
        <v>Match</v>
      </c>
      <c r="H6" s="2">
        <f>VLOOKUP(B6,po!A:H,7,FALSE)</f>
        <v>9000</v>
      </c>
      <c r="I6" s="2" t="str">
        <f t="shared" si="0"/>
        <v>ok</v>
      </c>
      <c r="J6" s="5">
        <f>VLOOKUP(Table4[[#This Row],[PO_ID]],po!A:G,5,FALSE)</f>
        <v>20</v>
      </c>
      <c r="K6" s="5">
        <f>VLOOKUP(B6,grn!B:C,2,FALSE)</f>
        <v>20</v>
      </c>
      <c r="L6" s="5" t="str">
        <f t="shared" si="1"/>
        <v>OK</v>
      </c>
      <c r="M6" s="5" t="str">
        <f t="shared" si="2"/>
        <v>Match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3178-5B9F-4AA1-94AB-0CEDCE89219A}">
  <dimension ref="A1:J30"/>
  <sheetViews>
    <sheetView topLeftCell="A7" workbookViewId="0">
      <selection activeCell="C14" sqref="C14"/>
    </sheetView>
  </sheetViews>
  <sheetFormatPr defaultRowHeight="14.4" x14ac:dyDescent="0.3"/>
  <cols>
    <col min="6" max="6" width="13.3320312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68</v>
      </c>
    </row>
    <row r="2" spans="1:10" x14ac:dyDescent="0.3">
      <c r="A2" s="2" t="s">
        <v>5</v>
      </c>
      <c r="B2" s="3">
        <v>46025</v>
      </c>
      <c r="C2" s="2" t="s">
        <v>6</v>
      </c>
      <c r="D2" s="2" t="s">
        <v>7</v>
      </c>
      <c r="E2" s="2">
        <v>5</v>
      </c>
      <c r="F2" s="2">
        <v>50000</v>
      </c>
      <c r="G2" s="2" t="s">
        <v>8</v>
      </c>
      <c r="H2" s="2"/>
    </row>
    <row r="3" spans="1:10" ht="28.8" x14ac:dyDescent="0.3">
      <c r="A3" s="2" t="s">
        <v>11</v>
      </c>
      <c r="B3" s="3">
        <v>46056</v>
      </c>
      <c r="C3" s="2" t="s">
        <v>12</v>
      </c>
      <c r="D3" s="2" t="s">
        <v>13</v>
      </c>
      <c r="E3" s="2">
        <v>10</v>
      </c>
      <c r="F3" s="2">
        <v>3000</v>
      </c>
      <c r="G3" s="2" t="s">
        <v>8</v>
      </c>
      <c r="H3" s="2"/>
      <c r="J3" s="4" t="s">
        <v>67</v>
      </c>
    </row>
    <row r="4" spans="1:10" x14ac:dyDescent="0.3">
      <c r="A4" s="2" t="s">
        <v>14</v>
      </c>
      <c r="B4" s="3">
        <v>46084</v>
      </c>
      <c r="C4" s="2" t="s">
        <v>15</v>
      </c>
      <c r="D4" s="2" t="s">
        <v>16</v>
      </c>
      <c r="E4" s="2">
        <v>2</v>
      </c>
      <c r="F4" s="2">
        <v>15000</v>
      </c>
      <c r="G4" s="2" t="s">
        <v>17</v>
      </c>
      <c r="H4" s="2" t="s">
        <v>67</v>
      </c>
    </row>
    <row r="5" spans="1:10" ht="28.8" x14ac:dyDescent="0.3">
      <c r="A5" s="2" t="s">
        <v>18</v>
      </c>
      <c r="B5" s="3">
        <v>46115</v>
      </c>
      <c r="C5" s="2" t="s">
        <v>19</v>
      </c>
      <c r="D5" s="2" t="s">
        <v>20</v>
      </c>
      <c r="E5" s="2">
        <v>1</v>
      </c>
      <c r="F5" s="2">
        <v>40000</v>
      </c>
      <c r="G5" s="2" t="s">
        <v>8</v>
      </c>
      <c r="H5" s="2"/>
    </row>
    <row r="6" spans="1:10" ht="28.8" x14ac:dyDescent="0.3">
      <c r="A6" s="2" t="s">
        <v>21</v>
      </c>
      <c r="B6" s="3">
        <v>46145</v>
      </c>
      <c r="C6" s="2" t="s">
        <v>22</v>
      </c>
      <c r="D6" s="2" t="s">
        <v>23</v>
      </c>
      <c r="E6" s="2">
        <v>20</v>
      </c>
      <c r="F6" s="2">
        <v>500</v>
      </c>
      <c r="G6" s="2" t="s">
        <v>8</v>
      </c>
      <c r="H6" s="2"/>
    </row>
    <row r="8" spans="1:10" ht="17.399999999999999" customHeight="1" x14ac:dyDescent="0.3"/>
    <row r="9" spans="1:10" ht="28.8" x14ac:dyDescent="0.3">
      <c r="A9" s="1" t="s">
        <v>24</v>
      </c>
      <c r="B9" s="1" t="s">
        <v>0</v>
      </c>
      <c r="C9" s="1" t="s">
        <v>25</v>
      </c>
      <c r="D9" s="1" t="s">
        <v>3</v>
      </c>
      <c r="E9" s="1" t="s">
        <v>26</v>
      </c>
      <c r="F9" s="1" t="s">
        <v>27</v>
      </c>
      <c r="G9" s="1" t="s">
        <v>28</v>
      </c>
      <c r="H9" s="1" t="s">
        <v>29</v>
      </c>
    </row>
    <row r="10" spans="1:10" ht="28.8" x14ac:dyDescent="0.3">
      <c r="A10" s="2" t="s">
        <v>30</v>
      </c>
      <c r="B10" s="2" t="s">
        <v>5</v>
      </c>
      <c r="C10" s="2" t="s">
        <v>31</v>
      </c>
      <c r="D10" s="2" t="s">
        <v>7</v>
      </c>
      <c r="E10" s="2">
        <v>5</v>
      </c>
      <c r="F10" s="2">
        <v>48000</v>
      </c>
      <c r="G10">
        <f>E10*F10</f>
        <v>240000</v>
      </c>
      <c r="H10" s="3">
        <v>46056</v>
      </c>
    </row>
    <row r="11" spans="1:10" ht="28.8" x14ac:dyDescent="0.3">
      <c r="A11" s="2" t="s">
        <v>32</v>
      </c>
      <c r="B11" s="2" t="s">
        <v>11</v>
      </c>
      <c r="C11" s="2" t="s">
        <v>33</v>
      </c>
      <c r="D11" s="2" t="s">
        <v>13</v>
      </c>
      <c r="E11" s="2">
        <v>10</v>
      </c>
      <c r="F11" s="2">
        <v>2800</v>
      </c>
      <c r="G11" s="2">
        <f>E11*F11</f>
        <v>28000</v>
      </c>
      <c r="H11" s="3">
        <v>46084</v>
      </c>
    </row>
    <row r="12" spans="1:10" ht="28.8" x14ac:dyDescent="0.3">
      <c r="A12" s="2" t="s">
        <v>34</v>
      </c>
      <c r="B12" s="2" t="s">
        <v>14</v>
      </c>
      <c r="C12" s="2" t="s">
        <v>35</v>
      </c>
      <c r="D12" s="2" t="s">
        <v>16</v>
      </c>
      <c r="E12" s="2">
        <v>2</v>
      </c>
      <c r="F12" s="2">
        <v>14000</v>
      </c>
      <c r="G12" s="2">
        <f>E12*F12</f>
        <v>28000</v>
      </c>
      <c r="H12" s="3">
        <v>46115</v>
      </c>
    </row>
    <row r="13" spans="1:10" ht="28.8" x14ac:dyDescent="0.3">
      <c r="A13" s="2" t="s">
        <v>36</v>
      </c>
      <c r="B13" s="2" t="s">
        <v>18</v>
      </c>
      <c r="C13" s="2" t="s">
        <v>37</v>
      </c>
      <c r="D13" s="2" t="s">
        <v>20</v>
      </c>
      <c r="E13" s="2">
        <v>1</v>
      </c>
      <c r="F13" s="2">
        <v>38000</v>
      </c>
      <c r="G13" s="2">
        <f>E13*F13</f>
        <v>38000</v>
      </c>
      <c r="H13" s="3">
        <v>46145</v>
      </c>
      <c r="J13" s="4" t="s">
        <v>66</v>
      </c>
    </row>
    <row r="14" spans="1:10" ht="28.8" x14ac:dyDescent="0.3">
      <c r="A14" s="2" t="s">
        <v>38</v>
      </c>
      <c r="B14" s="2" t="s">
        <v>21</v>
      </c>
      <c r="C14" s="2" t="s">
        <v>39</v>
      </c>
      <c r="D14" s="2" t="s">
        <v>40</v>
      </c>
      <c r="E14" s="2">
        <v>20</v>
      </c>
      <c r="F14" s="2">
        <v>450</v>
      </c>
      <c r="G14" s="2">
        <f>E14*F14</f>
        <v>9000</v>
      </c>
      <c r="H14" s="3">
        <v>46176</v>
      </c>
    </row>
    <row r="17" spans="1:10" ht="28.8" x14ac:dyDescent="0.3">
      <c r="A17" s="1" t="s">
        <v>41</v>
      </c>
      <c r="B17" s="1" t="s">
        <v>24</v>
      </c>
      <c r="C17" s="1" t="s">
        <v>42</v>
      </c>
      <c r="D17" s="1" t="s">
        <v>43</v>
      </c>
      <c r="E17" s="1" t="s">
        <v>44</v>
      </c>
      <c r="G17" t="s">
        <v>69</v>
      </c>
    </row>
    <row r="18" spans="1:10" x14ac:dyDescent="0.3">
      <c r="A18" s="2" t="s">
        <v>45</v>
      </c>
      <c r="B18" s="2" t="s">
        <v>30</v>
      </c>
      <c r="C18" s="2">
        <v>5</v>
      </c>
      <c r="D18" s="2" t="s">
        <v>46</v>
      </c>
      <c r="E18" s="3">
        <v>46145</v>
      </c>
    </row>
    <row r="19" spans="1:10" x14ac:dyDescent="0.3">
      <c r="A19" s="2" t="s">
        <v>47</v>
      </c>
      <c r="B19" s="2" t="s">
        <v>32</v>
      </c>
      <c r="C19" s="2">
        <v>10</v>
      </c>
      <c r="D19" s="2" t="s">
        <v>46</v>
      </c>
      <c r="E19" s="3">
        <v>46176</v>
      </c>
    </row>
    <row r="20" spans="1:10" x14ac:dyDescent="0.3">
      <c r="A20" s="2" t="s">
        <v>48</v>
      </c>
      <c r="B20" s="2" t="s">
        <v>34</v>
      </c>
      <c r="C20" s="2">
        <v>1</v>
      </c>
      <c r="D20" s="2" t="s">
        <v>46</v>
      </c>
      <c r="E20" s="3">
        <v>46206</v>
      </c>
    </row>
    <row r="21" spans="1:10" x14ac:dyDescent="0.3">
      <c r="A21" s="2" t="s">
        <v>49</v>
      </c>
      <c r="B21" s="2" t="s">
        <v>36</v>
      </c>
      <c r="C21" s="2">
        <v>1</v>
      </c>
      <c r="D21" s="2" t="s">
        <v>50</v>
      </c>
      <c r="E21" s="3">
        <v>46237</v>
      </c>
    </row>
    <row r="22" spans="1:10" x14ac:dyDescent="0.3">
      <c r="A22" s="2" t="s">
        <v>51</v>
      </c>
      <c r="B22" s="2" t="s">
        <v>38</v>
      </c>
      <c r="C22" s="2">
        <v>20</v>
      </c>
      <c r="D22" s="2" t="s">
        <v>46</v>
      </c>
      <c r="E22" s="3">
        <v>46268</v>
      </c>
    </row>
    <row r="25" spans="1:10" ht="28.8" x14ac:dyDescent="0.3">
      <c r="A25" s="1" t="s">
        <v>52</v>
      </c>
      <c r="B25" s="1" t="s">
        <v>24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</row>
    <row r="26" spans="1:10" x14ac:dyDescent="0.3">
      <c r="A26" s="2" t="s">
        <v>58</v>
      </c>
      <c r="B26" s="2" t="s">
        <v>30</v>
      </c>
      <c r="C26" s="2">
        <v>240000</v>
      </c>
      <c r="D26" s="3">
        <v>46176</v>
      </c>
      <c r="E26" s="2" t="s">
        <v>59</v>
      </c>
      <c r="F26" s="3">
        <v>46298</v>
      </c>
      <c r="G26" s="2" t="str">
        <f>IF(AND(
C26=VLOOKUP(B26,po!A:G,7,FALSE),
VLOOKUP(B26,po!A:G,5,FALSE)=VLOOKUP(B26,grn!B:C,2,FALSE)
),"Match","Mismatch")</f>
        <v>Match</v>
      </c>
    </row>
    <row r="27" spans="1:10" x14ac:dyDescent="0.3">
      <c r="A27" s="2" t="s">
        <v>60</v>
      </c>
      <c r="B27" s="2" t="s">
        <v>32</v>
      </c>
      <c r="C27" s="2">
        <v>28000</v>
      </c>
      <c r="D27" s="3">
        <v>46206</v>
      </c>
      <c r="E27" s="2" t="s">
        <v>59</v>
      </c>
      <c r="F27" s="3">
        <v>46359</v>
      </c>
      <c r="G27" s="2" t="str">
        <f>IF(AND(
C27=VLOOKUP(B27,po!A:G,7,FALSE),
VLOOKUP(B27,po!A:G,5,FALSE)=VLOOKUP(B27,grn!B:C,2,FALSE)
),"Match","Mismatch")</f>
        <v>Match</v>
      </c>
      <c r="J27" t="s">
        <v>70</v>
      </c>
    </row>
    <row r="28" spans="1:10" ht="28.8" x14ac:dyDescent="0.3">
      <c r="A28" s="2" t="s">
        <v>61</v>
      </c>
      <c r="B28" s="2" t="s">
        <v>34</v>
      </c>
      <c r="C28" s="2">
        <v>28000</v>
      </c>
      <c r="D28" s="3">
        <v>46237</v>
      </c>
      <c r="E28" s="2" t="s">
        <v>17</v>
      </c>
      <c r="F28" s="2"/>
      <c r="G28" s="2" t="str">
        <f>IF(AND(
C28=VLOOKUP(B28,po!A:G,7,FALSE),
VLOOKUP(B28,po!A:G,5,FALSE)=VLOOKUP(B28,grn!B:C,2,FALSE)
),"Match","Mismatch")</f>
        <v>Mismatch</v>
      </c>
    </row>
    <row r="29" spans="1:10" x14ac:dyDescent="0.3">
      <c r="A29" s="2" t="s">
        <v>62</v>
      </c>
      <c r="B29" s="2" t="s">
        <v>36</v>
      </c>
      <c r="C29" s="2">
        <v>38000</v>
      </c>
      <c r="D29" s="3">
        <v>46268</v>
      </c>
      <c r="E29" s="2" t="s">
        <v>59</v>
      </c>
      <c r="F29" s="2" t="s">
        <v>63</v>
      </c>
      <c r="G29" s="2" t="str">
        <f>IF(AND(
C29=VLOOKUP(B29,po!A:G,7,FALSE),
VLOOKUP(B29,po!A:G,5,FALSE)=VLOOKUP(B29,grn!B:C,2,FALSE)
),"Match","Mismatch")</f>
        <v>Match</v>
      </c>
    </row>
    <row r="30" spans="1:10" x14ac:dyDescent="0.3">
      <c r="A30" s="2" t="s">
        <v>64</v>
      </c>
      <c r="B30" s="2" t="s">
        <v>38</v>
      </c>
      <c r="C30" s="2">
        <v>9000</v>
      </c>
      <c r="D30" s="3">
        <v>46298</v>
      </c>
      <c r="E30" s="2" t="s">
        <v>59</v>
      </c>
      <c r="F30" s="2" t="s">
        <v>65</v>
      </c>
      <c r="G30" s="2" t="str">
        <f>IF(AND(
C30=VLOOKUP(B30,po!A:G,7,FALSE),
VLOOKUP(B30,po!A:G,5,FALSE)=VLOOKUP(B30,grn!B:C,2,FALSE)
),"Match","Mismatch")</f>
        <v>Match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</vt:lpstr>
      <vt:lpstr>po</vt:lpstr>
      <vt:lpstr>grn</vt:lpstr>
      <vt:lpstr>Invoice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bvpiyusha06@gmail.com</dc:creator>
  <cp:lastModifiedBy>Pranit Desai</cp:lastModifiedBy>
  <dcterms:created xsi:type="dcterms:W3CDTF">2026-03-28T12:00:55Z</dcterms:created>
  <dcterms:modified xsi:type="dcterms:W3CDTF">2026-03-29T14:12:13Z</dcterms:modified>
</cp:coreProperties>
</file>